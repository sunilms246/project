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chartsheets/sheet1.xml" ContentType="application/vnd.openxmlformats-officedocument.spreadsheetml.chartsheet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charts/colors1.xml" ContentType="application/vnd.ms-office.chartcolorstyle+xml"/>
  <Override PartName="/xl/charts/style1.xml" ContentType="application/vnd.ms-office.chartstyl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/>
  <bookViews>
    <workbookView xWindow="-105" yWindow="-105" windowWidth="19425" windowHeight="10305" activeTab="1"/>
  </bookViews>
  <sheets>
    <sheet name="Chart1" sheetId="2" r:id="rId1"/>
    <sheet name="Sheet1" sheetId="1" r:id="rId2"/>
  </sheets>
  <calcPr calcId="14562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5" i="1" l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C6" i="1"/>
  <c r="D6" i="1"/>
  <c r="E6" i="1"/>
  <c r="F6" i="1"/>
  <c r="G6" i="1"/>
  <c r="H6" i="1"/>
  <c r="C7" i="1"/>
  <c r="D7" i="1"/>
  <c r="E7" i="1"/>
  <c r="F7" i="1"/>
  <c r="G7" i="1"/>
  <c r="H7" i="1"/>
  <c r="C8" i="1"/>
  <c r="D8" i="1"/>
  <c r="E8" i="1"/>
  <c r="F8" i="1"/>
  <c r="G8" i="1"/>
  <c r="H8" i="1"/>
  <c r="C9" i="1"/>
  <c r="D9" i="1"/>
  <c r="E9" i="1"/>
  <c r="F9" i="1"/>
  <c r="G9" i="1"/>
  <c r="H9" i="1"/>
  <c r="C10" i="1"/>
  <c r="D10" i="1"/>
  <c r="E10" i="1"/>
  <c r="F10" i="1"/>
  <c r="G10" i="1"/>
  <c r="H10" i="1"/>
  <c r="C11" i="1"/>
  <c r="D11" i="1"/>
  <c r="E11" i="1"/>
  <c r="F11" i="1"/>
  <c r="G11" i="1"/>
  <c r="H11" i="1"/>
  <c r="C12" i="1"/>
  <c r="D12" i="1"/>
  <c r="E12" i="1"/>
  <c r="F12" i="1"/>
  <c r="G12" i="1"/>
  <c r="H12" i="1"/>
  <c r="C13" i="1"/>
  <c r="D13" i="1"/>
  <c r="E13" i="1"/>
  <c r="F13" i="1"/>
  <c r="G13" i="1"/>
  <c r="H13" i="1"/>
  <c r="C14" i="1"/>
  <c r="D14" i="1"/>
  <c r="E14" i="1"/>
  <c r="F14" i="1"/>
  <c r="G14" i="1"/>
  <c r="H14" i="1"/>
  <c r="C15" i="1"/>
  <c r="D15" i="1"/>
  <c r="E15" i="1"/>
  <c r="F15" i="1"/>
  <c r="G15" i="1"/>
  <c r="H15" i="1"/>
  <c r="C16" i="1"/>
  <c r="D16" i="1"/>
  <c r="E16" i="1"/>
  <c r="F16" i="1"/>
  <c r="G16" i="1"/>
  <c r="H16" i="1"/>
  <c r="C17" i="1"/>
  <c r="D17" i="1"/>
  <c r="E17" i="1"/>
  <c r="F17" i="1"/>
  <c r="G17" i="1"/>
  <c r="H17" i="1"/>
  <c r="C18" i="1"/>
  <c r="D18" i="1"/>
  <c r="E18" i="1"/>
  <c r="F18" i="1"/>
  <c r="G18" i="1"/>
  <c r="H18" i="1"/>
  <c r="C19" i="1"/>
  <c r="D19" i="1"/>
  <c r="E19" i="1"/>
  <c r="F19" i="1"/>
  <c r="G19" i="1"/>
  <c r="H19" i="1"/>
  <c r="C20" i="1"/>
  <c r="D20" i="1"/>
  <c r="E20" i="1"/>
  <c r="F20" i="1"/>
  <c r="G20" i="1"/>
  <c r="H20" i="1"/>
  <c r="C21" i="1"/>
  <c r="D21" i="1"/>
  <c r="E21" i="1"/>
  <c r="F21" i="1"/>
  <c r="G21" i="1"/>
  <c r="H21" i="1"/>
  <c r="C22" i="1"/>
  <c r="D22" i="1"/>
  <c r="E22" i="1"/>
  <c r="F22" i="1"/>
  <c r="G22" i="1"/>
  <c r="H22" i="1"/>
  <c r="C23" i="1"/>
  <c r="D23" i="1"/>
  <c r="E23" i="1"/>
  <c r="F23" i="1"/>
  <c r="G23" i="1"/>
  <c r="H23" i="1"/>
  <c r="C24" i="1"/>
  <c r="D24" i="1"/>
  <c r="E24" i="1"/>
  <c r="F24" i="1"/>
  <c r="G24" i="1"/>
  <c r="H24" i="1"/>
  <c r="C25" i="1"/>
  <c r="D25" i="1"/>
  <c r="E25" i="1"/>
  <c r="F25" i="1"/>
  <c r="G25" i="1"/>
  <c r="H25" i="1"/>
  <c r="C26" i="1"/>
  <c r="D26" i="1"/>
  <c r="E26" i="1"/>
  <c r="F26" i="1"/>
  <c r="G26" i="1"/>
  <c r="H26" i="1"/>
  <c r="C27" i="1"/>
  <c r="D27" i="1"/>
  <c r="E27" i="1"/>
  <c r="F27" i="1"/>
  <c r="G27" i="1"/>
  <c r="H27" i="1"/>
  <c r="C28" i="1"/>
  <c r="D28" i="1"/>
  <c r="E28" i="1"/>
  <c r="F28" i="1"/>
  <c r="G28" i="1"/>
  <c r="H28" i="1"/>
  <c r="C29" i="1"/>
  <c r="D29" i="1"/>
  <c r="E29" i="1"/>
  <c r="F29" i="1"/>
  <c r="G29" i="1"/>
  <c r="H29" i="1"/>
  <c r="C30" i="1"/>
  <c r="D30" i="1"/>
  <c r="E30" i="1"/>
  <c r="F30" i="1"/>
  <c r="G30" i="1"/>
  <c r="H30" i="1"/>
  <c r="C31" i="1"/>
  <c r="D31" i="1"/>
  <c r="E31" i="1"/>
  <c r="F31" i="1"/>
  <c r="G31" i="1"/>
  <c r="H31" i="1"/>
  <c r="F5" i="1"/>
  <c r="E5" i="1"/>
  <c r="J22" i="1" l="1"/>
  <c r="L22" i="1" s="1"/>
  <c r="J16" i="1"/>
  <c r="L16" i="1" s="1"/>
  <c r="J13" i="1"/>
  <c r="L13" i="1" s="1"/>
  <c r="J21" i="1"/>
  <c r="L21" i="1" s="1"/>
  <c r="J15" i="1"/>
  <c r="L15" i="1" s="1"/>
  <c r="J28" i="1"/>
  <c r="L28" i="1" s="1"/>
  <c r="J19" i="1"/>
  <c r="L19" i="1" s="1"/>
  <c r="J14" i="1"/>
  <c r="L14" i="1" s="1"/>
  <c r="J23" i="1"/>
  <c r="L23" i="1" s="1"/>
  <c r="I23" i="1"/>
  <c r="J18" i="1"/>
  <c r="L18" i="1" s="1"/>
  <c r="J27" i="1"/>
  <c r="L27" i="1" s="1"/>
  <c r="J17" i="1"/>
  <c r="L17" i="1" s="1"/>
  <c r="J8" i="1"/>
  <c r="L8" i="1" s="1"/>
  <c r="J31" i="1"/>
  <c r="L31" i="1" s="1"/>
  <c r="J12" i="1"/>
  <c r="L12" i="1" s="1"/>
  <c r="J26" i="1"/>
  <c r="L26" i="1" s="1"/>
  <c r="J7" i="1"/>
  <c r="L7" i="1" s="1"/>
  <c r="J30" i="1"/>
  <c r="L30" i="1" s="1"/>
  <c r="J25" i="1"/>
  <c r="L25" i="1" s="1"/>
  <c r="I11" i="1"/>
  <c r="I20" i="1"/>
  <c r="J10" i="1"/>
  <c r="L10" i="1" s="1"/>
  <c r="J20" i="1"/>
  <c r="L20" i="1" s="1"/>
  <c r="J29" i="1"/>
  <c r="L29" i="1" s="1"/>
  <c r="I24" i="1"/>
  <c r="I9" i="1"/>
  <c r="J24" i="1"/>
  <c r="L24" i="1" s="1"/>
  <c r="J11" i="1"/>
  <c r="L11" i="1" s="1"/>
  <c r="J9" i="1"/>
  <c r="L9" i="1" s="1"/>
  <c r="I21" i="1"/>
  <c r="I15" i="1"/>
  <c r="I16" i="1"/>
  <c r="I19" i="1"/>
  <c r="J6" i="1"/>
  <c r="L6" i="1" s="1"/>
  <c r="I25" i="1"/>
  <c r="I28" i="1"/>
  <c r="I27" i="1"/>
  <c r="I13" i="1"/>
  <c r="I8" i="1"/>
  <c r="I12" i="1"/>
  <c r="I17" i="1"/>
  <c r="I7" i="1"/>
  <c r="I31" i="1"/>
  <c r="I29" i="1"/>
  <c r="I10" i="1"/>
  <c r="I14" i="1"/>
  <c r="I18" i="1"/>
  <c r="I22" i="1"/>
  <c r="I26" i="1"/>
  <c r="I30" i="1"/>
  <c r="I6" i="1"/>
  <c r="K5" i="1"/>
  <c r="D5" i="1"/>
  <c r="G5" i="1"/>
  <c r="H5" i="1"/>
  <c r="C5" i="1"/>
  <c r="N5" i="1" s="1"/>
  <c r="J5" i="1" l="1"/>
  <c r="I5" i="1"/>
  <c r="W3" i="1"/>
  <c r="L5" i="1" l="1"/>
</calcChain>
</file>

<file path=xl/sharedStrings.xml><?xml version="1.0" encoding="utf-8"?>
<sst xmlns="http://schemas.openxmlformats.org/spreadsheetml/2006/main" count="126" uniqueCount="125">
  <si>
    <t>USN</t>
  </si>
  <si>
    <t>NAME</t>
  </si>
  <si>
    <t>DAA</t>
  </si>
  <si>
    <t>AI</t>
  </si>
  <si>
    <t>DSP</t>
  </si>
  <si>
    <t>BE</t>
  </si>
  <si>
    <t>UHV</t>
  </si>
  <si>
    <t>DMS</t>
  </si>
  <si>
    <t>1SI25AD401</t>
  </si>
  <si>
    <t>1SI25AD402</t>
  </si>
  <si>
    <t>1SI25AD403</t>
  </si>
  <si>
    <t>1SI25AD404</t>
  </si>
  <si>
    <t>1SI25AD405</t>
  </si>
  <si>
    <t>1SI25AD406</t>
  </si>
  <si>
    <t>1SI25AD407</t>
  </si>
  <si>
    <t>1SI25AD408</t>
  </si>
  <si>
    <t>1SI25AD409</t>
  </si>
  <si>
    <t>1SI25AD410</t>
  </si>
  <si>
    <t>1SI25AD411</t>
  </si>
  <si>
    <t>1SI25AD412</t>
  </si>
  <si>
    <t>1SI25AD413</t>
  </si>
  <si>
    <t>1SI25AD414</t>
  </si>
  <si>
    <t>1SI25AD415</t>
  </si>
  <si>
    <t>1SI25AD416</t>
  </si>
  <si>
    <t>1SI25AD417</t>
  </si>
  <si>
    <t>1SI25AD418</t>
  </si>
  <si>
    <t>1SI25AD419</t>
  </si>
  <si>
    <t>1SI25AD420</t>
  </si>
  <si>
    <t>1SI25AD421</t>
  </si>
  <si>
    <t>1SI25AD422</t>
  </si>
  <si>
    <t>1SI25AD423</t>
  </si>
  <si>
    <t>1SI25AD424</t>
  </si>
  <si>
    <t>1SI25AD425</t>
  </si>
  <si>
    <t>1SI25AD426</t>
  </si>
  <si>
    <t>1SI25AD427</t>
  </si>
  <si>
    <t>1SI25AD428</t>
  </si>
  <si>
    <t>1SI25AD429</t>
  </si>
  <si>
    <t>1SI25AD430</t>
  </si>
  <si>
    <t>1SI25AD431</t>
  </si>
  <si>
    <t>1SI25AD432</t>
  </si>
  <si>
    <t>1SI25AD433</t>
  </si>
  <si>
    <t>1SI25AD434</t>
  </si>
  <si>
    <t>1SI25AD435</t>
  </si>
  <si>
    <t>1SI25AD436</t>
  </si>
  <si>
    <t>1SI25AD437</t>
  </si>
  <si>
    <t>1SI25AD438</t>
  </si>
  <si>
    <t>1SI25AD439</t>
  </si>
  <si>
    <t>1SI25AD440</t>
  </si>
  <si>
    <t>1SI25AD441</t>
  </si>
  <si>
    <t>1SI25AD442</t>
  </si>
  <si>
    <t>1SI25AD443</t>
  </si>
  <si>
    <t>1SI25AD444</t>
  </si>
  <si>
    <t>1SI25AD445</t>
  </si>
  <si>
    <t>1SI25AD446</t>
  </si>
  <si>
    <t>1SI25AD447</t>
  </si>
  <si>
    <t>1SI25AD448</t>
  </si>
  <si>
    <t>1SI25AD449</t>
  </si>
  <si>
    <t>1SI25AD450</t>
  </si>
  <si>
    <t>1SI25AD451</t>
  </si>
  <si>
    <t>1SI25AD452</t>
  </si>
  <si>
    <t>1SI25AD453</t>
  </si>
  <si>
    <t>1SI25AD454</t>
  </si>
  <si>
    <t>1SI25AD455</t>
  </si>
  <si>
    <t>1SI25AD456</t>
  </si>
  <si>
    <t>1SI25AD457</t>
  </si>
  <si>
    <t>1SI25AD458</t>
  </si>
  <si>
    <t>1SI25AD459</t>
  </si>
  <si>
    <t>1SI25AD460</t>
  </si>
  <si>
    <t>1SI25AD461</t>
  </si>
  <si>
    <t>1SI25AD462</t>
  </si>
  <si>
    <t>1SI25AD463</t>
  </si>
  <si>
    <t>1SI25AD464</t>
  </si>
  <si>
    <t>1SI25AD465</t>
  </si>
  <si>
    <t>1SI25AD466</t>
  </si>
  <si>
    <t>1SI25AD467</t>
  </si>
  <si>
    <t>1SI25AD468</t>
  </si>
  <si>
    <t>1SI25AD469</t>
  </si>
  <si>
    <t>1SI25AD470</t>
  </si>
  <si>
    <t>1SI25AD471</t>
  </si>
  <si>
    <t>1SI25AD472</t>
  </si>
  <si>
    <t>1SI25AD473</t>
  </si>
  <si>
    <t>1SI25AD474</t>
  </si>
  <si>
    <t>1SI25AD475</t>
  </si>
  <si>
    <t>1SI25AD476</t>
  </si>
  <si>
    <t>1SI25AD477</t>
  </si>
  <si>
    <t>1SI25AD478</t>
  </si>
  <si>
    <t>1SI25AD479</t>
  </si>
  <si>
    <t>1SI25AD480</t>
  </si>
  <si>
    <t>1SI25AD481</t>
  </si>
  <si>
    <t>1SI25AD482</t>
  </si>
  <si>
    <t>1SI25AD483</t>
  </si>
  <si>
    <t>1SI25AD484</t>
  </si>
  <si>
    <t>1SI25AD485</t>
  </si>
  <si>
    <t>1SI25AD486</t>
  </si>
  <si>
    <t>1SI25AD487</t>
  </si>
  <si>
    <t>1SI25AD488</t>
  </si>
  <si>
    <t>1SI25AD489</t>
  </si>
  <si>
    <t>1SI25AD490</t>
  </si>
  <si>
    <t>1SI25AD491</t>
  </si>
  <si>
    <t>1SI25AD492</t>
  </si>
  <si>
    <t>1SI25AD493</t>
  </si>
  <si>
    <t>1SI25AD494</t>
  </si>
  <si>
    <t>1SI25AD495</t>
  </si>
  <si>
    <t>1SI25AD496</t>
  </si>
  <si>
    <t>1SI25AD497</t>
  </si>
  <si>
    <t>1SI25AD498</t>
  </si>
  <si>
    <t>1SI25AD499</t>
  </si>
  <si>
    <t>1SI25AD500</t>
  </si>
  <si>
    <t>TOTAL</t>
  </si>
  <si>
    <t>AVERAGE</t>
  </si>
  <si>
    <t>GRADE</t>
  </si>
  <si>
    <t>CGPA</t>
  </si>
  <si>
    <t>SGPA</t>
  </si>
  <si>
    <t>ATTENDENCE</t>
  </si>
  <si>
    <t>MARKS</t>
  </si>
  <si>
    <t>GRADE POINTS</t>
  </si>
  <si>
    <t>F</t>
  </si>
  <si>
    <t>P</t>
  </si>
  <si>
    <t>C</t>
  </si>
  <si>
    <t>B</t>
  </si>
  <si>
    <t>B+</t>
  </si>
  <si>
    <t xml:space="preserve">A </t>
  </si>
  <si>
    <t>A+</t>
  </si>
  <si>
    <t>O</t>
  </si>
  <si>
    <t>CREADITS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</si>
</sst>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1.xml"/><Relationship Id="rId1" Type="http://schemas.openxmlformats.org/officeDocument/2006/relationships/chartsheet" Target="chart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I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1212800"/>
        <c:axId val="136679936"/>
      </c:barChart>
      <c:catAx>
        <c:axId val="13121280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679936"/>
        <c:crosses val="autoZero"/>
        <c:auto val="1"/>
        <c:lblAlgn val="ctr"/>
        <c:lblOffset val="100"/>
        <c:noMultiLvlLbl val="0"/>
      </c:catAx>
      <c:valAx>
        <c:axId val="136679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12128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sheet1.xml><?xml version="1.0" encoding="utf-8"?>
<chartsheet xmlns="http://schemas.openxmlformats.org/spreadsheetml/2006/main" xmlns:r="http://schemas.openxmlformats.org/officeDocument/2006/relationships">
  <sheetPr/>
  <sheetViews>
    <sheetView zoomScale="60" workbookViewId="0" zoomToFit="1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8657167" cy="62865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xmlns="" id="{C07F0F02-46CA-5E72-2E4A-3219D300DDD4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W104"/>
  <sheetViews>
    <sheetView tabSelected="1" zoomScale="85" zoomScaleNormal="85" workbookViewId="0">
      <selection activeCell="O17" sqref="O17"/>
    </sheetView>
  </sheetViews>
  <sheetFormatPr defaultRowHeight="15" x14ac:dyDescent="0.25"/>
  <cols>
    <col min="1" max="1" width="11.85546875" customWidth="1"/>
    <col min="12" max="12" width="14.28515625" customWidth="1"/>
    <col min="13" max="13" width="8.140625" customWidth="1"/>
  </cols>
  <sheetData>
    <row r="3" spans="1:23" x14ac:dyDescent="0.25">
      <c r="A3" t="s">
        <v>0</v>
      </c>
      <c r="B3" t="s">
        <v>1</v>
      </c>
      <c r="C3" t="s">
        <v>2</v>
      </c>
      <c r="D3" t="s">
        <v>3</v>
      </c>
      <c r="E3" t="s">
        <v>4</v>
      </c>
      <c r="F3" t="s">
        <v>5</v>
      </c>
      <c r="G3" t="s">
        <v>6</v>
      </c>
      <c r="H3" t="s">
        <v>7</v>
      </c>
      <c r="I3" t="s">
        <v>108</v>
      </c>
      <c r="J3" t="s">
        <v>109</v>
      </c>
      <c r="K3" t="s">
        <v>113</v>
      </c>
      <c r="L3" t="s">
        <v>115</v>
      </c>
      <c r="M3" t="s">
        <v>112</v>
      </c>
      <c r="N3" t="s">
        <v>111</v>
      </c>
      <c r="S3" t="s">
        <v>114</v>
      </c>
      <c r="T3" t="s">
        <v>110</v>
      </c>
      <c r="U3" t="s">
        <v>115</v>
      </c>
      <c r="W3" t="str">
        <f ca="1">IF(OR(K5&lt;85, J5&lt;40),"NE",IF(J5&gt;=90,"O",IF(J5&gt;=80,"A+",IF(J5&gt;=70,"A",IF(J5&gt;=60,"B+",IF(J5&gt;=55,"B",IF(J5&gt;=50,"C",IF(J5&gt;=40,"P","F"))))))))</f>
        <v>NE</v>
      </c>
    </row>
    <row r="4" spans="1:23" ht="14.45" customHeight="1" x14ac:dyDescent="0.25">
      <c r="A4" s="1" t="s">
        <v>124</v>
      </c>
      <c r="B4" s="1"/>
      <c r="C4">
        <v>4</v>
      </c>
      <c r="D4">
        <v>4</v>
      </c>
      <c r="E4">
        <v>4</v>
      </c>
      <c r="F4">
        <v>3</v>
      </c>
      <c r="G4">
        <v>2</v>
      </c>
      <c r="H4">
        <v>4</v>
      </c>
    </row>
    <row r="5" spans="1:23" x14ac:dyDescent="0.25">
      <c r="A5" t="s">
        <v>8</v>
      </c>
      <c r="C5">
        <f ca="1">RANDBETWEEN(0,100)</f>
        <v>54</v>
      </c>
      <c r="D5">
        <f t="shared" ref="D5:H20" ca="1" si="0">RANDBETWEEN(0,100)</f>
        <v>45</v>
      </c>
      <c r="E5">
        <f ca="1">RANDBETWEEN(0,100)</f>
        <v>32</v>
      </c>
      <c r="F5">
        <f ca="1">RANDBETWEEN(0,100)</f>
        <v>2</v>
      </c>
      <c r="G5">
        <f t="shared" ca="1" si="0"/>
        <v>20</v>
      </c>
      <c r="H5">
        <f t="shared" ca="1" si="0"/>
        <v>72</v>
      </c>
      <c r="I5">
        <f ca="1">SUM(C5:H5)</f>
        <v>225</v>
      </c>
      <c r="J5" s="2">
        <f t="shared" ref="J5:J31" ca="1" si="1">AVERAGE(C5:H5)</f>
        <v>37.5</v>
      </c>
      <c r="K5">
        <f ca="1">RANDBETWEEN(0,100)</f>
        <v>44</v>
      </c>
      <c r="L5">
        <f ca="1">VLOOKUP(J5,$S$5:$U$12,3,TRUE)*6</f>
        <v>0</v>
      </c>
      <c r="M5" t="e">
        <f>SUMPRODUCT($C$4:$H$4,VLOOKUP(C5:H5,$S$5:$V$12,3,TRUE))/SUM($C$4:$H$4)</f>
        <v>#VALUE!</v>
      </c>
      <c r="N5">
        <f ca="1">SUM(E5,C5)</f>
        <v>86</v>
      </c>
      <c r="S5">
        <v>0</v>
      </c>
      <c r="T5" t="s">
        <v>116</v>
      </c>
      <c r="U5">
        <v>0</v>
      </c>
    </row>
    <row r="6" spans="1:23" ht="14.45" x14ac:dyDescent="0.35">
      <c r="A6" t="s">
        <v>9</v>
      </c>
      <c r="C6">
        <f t="shared" ref="C6:H31" ca="1" si="2">RANDBETWEEN(0,100)</f>
        <v>70</v>
      </c>
      <c r="D6">
        <f t="shared" ca="1" si="0"/>
        <v>20</v>
      </c>
      <c r="E6">
        <f t="shared" ca="1" si="0"/>
        <v>0</v>
      </c>
      <c r="F6">
        <f t="shared" ca="1" si="0"/>
        <v>40</v>
      </c>
      <c r="G6">
        <f t="shared" ca="1" si="0"/>
        <v>55</v>
      </c>
      <c r="H6">
        <f t="shared" ca="1" si="0"/>
        <v>78</v>
      </c>
      <c r="I6">
        <f t="shared" ref="I6:I31" ca="1" si="3">SUM(C6:H6)</f>
        <v>263</v>
      </c>
      <c r="J6" s="2">
        <f t="shared" ca="1" si="1"/>
        <v>43.833333333333336</v>
      </c>
      <c r="K6">
        <f t="shared" ref="K6:K31" ca="1" si="4">RANDBETWEEN(0,100)</f>
        <v>73</v>
      </c>
      <c r="L6">
        <f t="shared" ref="L6:L30" ca="1" si="5">VLOOKUP(J6,$S$5:$U$12,3,TRUE)*6</f>
        <v>24</v>
      </c>
      <c r="S6">
        <v>40</v>
      </c>
      <c r="T6" t="s">
        <v>117</v>
      </c>
      <c r="U6">
        <v>4</v>
      </c>
    </row>
    <row r="7" spans="1:23" ht="14.45" x14ac:dyDescent="0.35">
      <c r="A7" t="s">
        <v>10</v>
      </c>
      <c r="C7">
        <f t="shared" ca="1" si="2"/>
        <v>81</v>
      </c>
      <c r="D7">
        <f t="shared" ca="1" si="0"/>
        <v>78</v>
      </c>
      <c r="E7">
        <f t="shared" ca="1" si="0"/>
        <v>70</v>
      </c>
      <c r="F7">
        <f t="shared" ca="1" si="0"/>
        <v>47</v>
      </c>
      <c r="G7">
        <f t="shared" ca="1" si="0"/>
        <v>27</v>
      </c>
      <c r="H7">
        <f t="shared" ca="1" si="0"/>
        <v>99</v>
      </c>
      <c r="I7">
        <f t="shared" ca="1" si="3"/>
        <v>402</v>
      </c>
      <c r="J7" s="2">
        <f t="shared" ca="1" si="1"/>
        <v>67</v>
      </c>
      <c r="K7">
        <f t="shared" ca="1" si="4"/>
        <v>65</v>
      </c>
      <c r="L7">
        <f t="shared" ca="1" si="5"/>
        <v>42</v>
      </c>
      <c r="S7">
        <v>50</v>
      </c>
      <c r="T7" t="s">
        <v>118</v>
      </c>
      <c r="U7">
        <v>5</v>
      </c>
    </row>
    <row r="8" spans="1:23" ht="14.45" x14ac:dyDescent="0.35">
      <c r="A8" t="s">
        <v>11</v>
      </c>
      <c r="C8">
        <f t="shared" ca="1" si="2"/>
        <v>44</v>
      </c>
      <c r="D8">
        <f t="shared" ca="1" si="0"/>
        <v>39</v>
      </c>
      <c r="E8">
        <f t="shared" ca="1" si="0"/>
        <v>5</v>
      </c>
      <c r="F8">
        <f t="shared" ca="1" si="0"/>
        <v>54</v>
      </c>
      <c r="G8">
        <f t="shared" ca="1" si="0"/>
        <v>25</v>
      </c>
      <c r="H8">
        <f t="shared" ca="1" si="0"/>
        <v>75</v>
      </c>
      <c r="I8">
        <f t="shared" ca="1" si="3"/>
        <v>242</v>
      </c>
      <c r="J8" s="2">
        <f t="shared" ca="1" si="1"/>
        <v>40.333333333333336</v>
      </c>
      <c r="K8">
        <f t="shared" ca="1" si="4"/>
        <v>17</v>
      </c>
      <c r="L8">
        <f t="shared" ca="1" si="5"/>
        <v>24</v>
      </c>
      <c r="S8">
        <v>55</v>
      </c>
      <c r="T8" t="s">
        <v>119</v>
      </c>
      <c r="U8">
        <v>6</v>
      </c>
    </row>
    <row r="9" spans="1:23" ht="14.45" x14ac:dyDescent="0.35">
      <c r="A9" t="s">
        <v>12</v>
      </c>
      <c r="C9">
        <f t="shared" ca="1" si="2"/>
        <v>66</v>
      </c>
      <c r="D9">
        <f t="shared" ca="1" si="0"/>
        <v>8</v>
      </c>
      <c r="E9">
        <f t="shared" ca="1" si="0"/>
        <v>61</v>
      </c>
      <c r="F9">
        <f t="shared" ca="1" si="0"/>
        <v>82</v>
      </c>
      <c r="G9">
        <f t="shared" ca="1" si="0"/>
        <v>8</v>
      </c>
      <c r="H9">
        <f t="shared" ca="1" si="0"/>
        <v>60</v>
      </c>
      <c r="I9">
        <f t="shared" ca="1" si="3"/>
        <v>285</v>
      </c>
      <c r="J9" s="2">
        <f t="shared" ca="1" si="1"/>
        <v>47.5</v>
      </c>
      <c r="K9">
        <f t="shared" ca="1" si="4"/>
        <v>48</v>
      </c>
      <c r="L9">
        <f t="shared" ca="1" si="5"/>
        <v>24</v>
      </c>
      <c r="S9">
        <v>60</v>
      </c>
      <c r="T9" t="s">
        <v>120</v>
      </c>
      <c r="U9">
        <v>7</v>
      </c>
    </row>
    <row r="10" spans="1:23" ht="14.45" x14ac:dyDescent="0.35">
      <c r="A10" t="s">
        <v>13</v>
      </c>
      <c r="C10">
        <f t="shared" ca="1" si="2"/>
        <v>85</v>
      </c>
      <c r="D10">
        <f t="shared" ca="1" si="0"/>
        <v>53</v>
      </c>
      <c r="E10">
        <f t="shared" ca="1" si="0"/>
        <v>55</v>
      </c>
      <c r="F10">
        <f t="shared" ca="1" si="0"/>
        <v>77</v>
      </c>
      <c r="G10">
        <f t="shared" ca="1" si="0"/>
        <v>87</v>
      </c>
      <c r="H10">
        <f t="shared" ca="1" si="0"/>
        <v>15</v>
      </c>
      <c r="I10">
        <f t="shared" ca="1" si="3"/>
        <v>372</v>
      </c>
      <c r="J10" s="2">
        <f t="shared" ca="1" si="1"/>
        <v>62</v>
      </c>
      <c r="K10">
        <f t="shared" ca="1" si="4"/>
        <v>44</v>
      </c>
      <c r="L10">
        <f t="shared" ca="1" si="5"/>
        <v>42</v>
      </c>
      <c r="S10">
        <v>70</v>
      </c>
      <c r="T10" t="s">
        <v>121</v>
      </c>
      <c r="U10">
        <v>8</v>
      </c>
    </row>
    <row r="11" spans="1:23" ht="14.45" x14ac:dyDescent="0.35">
      <c r="A11" t="s">
        <v>14</v>
      </c>
      <c r="C11">
        <f t="shared" ca="1" si="2"/>
        <v>62</v>
      </c>
      <c r="D11">
        <f t="shared" ca="1" si="0"/>
        <v>4</v>
      </c>
      <c r="E11">
        <f t="shared" ca="1" si="0"/>
        <v>27</v>
      </c>
      <c r="F11">
        <f t="shared" ca="1" si="0"/>
        <v>52</v>
      </c>
      <c r="G11">
        <f t="shared" ca="1" si="0"/>
        <v>88</v>
      </c>
      <c r="H11">
        <f t="shared" ca="1" si="0"/>
        <v>17</v>
      </c>
      <c r="I11">
        <f t="shared" ca="1" si="3"/>
        <v>250</v>
      </c>
      <c r="J11" s="2">
        <f t="shared" ca="1" si="1"/>
        <v>41.666666666666664</v>
      </c>
      <c r="K11">
        <f t="shared" ca="1" si="4"/>
        <v>58</v>
      </c>
      <c r="L11">
        <f t="shared" ca="1" si="5"/>
        <v>24</v>
      </c>
      <c r="S11">
        <v>80</v>
      </c>
      <c r="T11" t="s">
        <v>122</v>
      </c>
      <c r="U11">
        <v>9</v>
      </c>
    </row>
    <row r="12" spans="1:23" ht="14.45" x14ac:dyDescent="0.35">
      <c r="A12" t="s">
        <v>15</v>
      </c>
      <c r="C12">
        <f t="shared" ca="1" si="2"/>
        <v>54</v>
      </c>
      <c r="D12">
        <f t="shared" ca="1" si="0"/>
        <v>81</v>
      </c>
      <c r="E12">
        <f t="shared" ca="1" si="0"/>
        <v>100</v>
      </c>
      <c r="F12">
        <f t="shared" ca="1" si="0"/>
        <v>66</v>
      </c>
      <c r="G12">
        <f t="shared" ca="1" si="0"/>
        <v>33</v>
      </c>
      <c r="H12">
        <f t="shared" ca="1" si="0"/>
        <v>78</v>
      </c>
      <c r="I12">
        <f t="shared" ca="1" si="3"/>
        <v>412</v>
      </c>
      <c r="J12" s="2">
        <f t="shared" ca="1" si="1"/>
        <v>68.666666666666671</v>
      </c>
      <c r="K12">
        <f t="shared" ca="1" si="4"/>
        <v>93</v>
      </c>
      <c r="L12">
        <f t="shared" ca="1" si="5"/>
        <v>42</v>
      </c>
      <c r="S12">
        <v>90</v>
      </c>
      <c r="T12" t="s">
        <v>123</v>
      </c>
      <c r="U12">
        <v>10</v>
      </c>
    </row>
    <row r="13" spans="1:23" ht="14.45" x14ac:dyDescent="0.35">
      <c r="A13" t="s">
        <v>16</v>
      </c>
      <c r="C13">
        <f t="shared" ca="1" si="2"/>
        <v>33</v>
      </c>
      <c r="D13">
        <f t="shared" ca="1" si="0"/>
        <v>94</v>
      </c>
      <c r="E13">
        <f t="shared" ca="1" si="0"/>
        <v>48</v>
      </c>
      <c r="F13">
        <f t="shared" ca="1" si="0"/>
        <v>77</v>
      </c>
      <c r="G13">
        <f t="shared" ca="1" si="0"/>
        <v>76</v>
      </c>
      <c r="H13">
        <f t="shared" ca="1" si="0"/>
        <v>49</v>
      </c>
      <c r="I13">
        <f t="shared" ca="1" si="3"/>
        <v>377</v>
      </c>
      <c r="J13" s="2">
        <f t="shared" ca="1" si="1"/>
        <v>62.833333333333336</v>
      </c>
      <c r="K13">
        <f t="shared" ca="1" si="4"/>
        <v>16</v>
      </c>
      <c r="L13">
        <f t="shared" ca="1" si="5"/>
        <v>42</v>
      </c>
    </row>
    <row r="14" spans="1:23" ht="14.45" x14ac:dyDescent="0.35">
      <c r="A14" t="s">
        <v>17</v>
      </c>
      <c r="C14">
        <f t="shared" ca="1" si="2"/>
        <v>25</v>
      </c>
      <c r="D14">
        <f t="shared" ca="1" si="0"/>
        <v>37</v>
      </c>
      <c r="E14">
        <f t="shared" ca="1" si="0"/>
        <v>67</v>
      </c>
      <c r="F14">
        <f t="shared" ca="1" si="0"/>
        <v>6</v>
      </c>
      <c r="G14">
        <f t="shared" ca="1" si="0"/>
        <v>70</v>
      </c>
      <c r="H14">
        <f t="shared" ca="1" si="0"/>
        <v>55</v>
      </c>
      <c r="I14">
        <f t="shared" ca="1" si="3"/>
        <v>260</v>
      </c>
      <c r="J14" s="2">
        <f t="shared" ca="1" si="1"/>
        <v>43.333333333333336</v>
      </c>
      <c r="K14">
        <f t="shared" ca="1" si="4"/>
        <v>74</v>
      </c>
      <c r="L14">
        <f t="shared" ca="1" si="5"/>
        <v>24</v>
      </c>
    </row>
    <row r="15" spans="1:23" ht="14.45" x14ac:dyDescent="0.35">
      <c r="A15" t="s">
        <v>18</v>
      </c>
      <c r="C15">
        <f t="shared" ca="1" si="2"/>
        <v>77</v>
      </c>
      <c r="D15">
        <f t="shared" ca="1" si="0"/>
        <v>55</v>
      </c>
      <c r="E15">
        <f t="shared" ca="1" si="0"/>
        <v>57</v>
      </c>
      <c r="F15">
        <f t="shared" ca="1" si="0"/>
        <v>53</v>
      </c>
      <c r="G15">
        <f t="shared" ca="1" si="0"/>
        <v>26</v>
      </c>
      <c r="H15">
        <f t="shared" ca="1" si="0"/>
        <v>8</v>
      </c>
      <c r="I15">
        <f t="shared" ca="1" si="3"/>
        <v>276</v>
      </c>
      <c r="J15" s="2">
        <f t="shared" ca="1" si="1"/>
        <v>46</v>
      </c>
      <c r="K15">
        <f t="shared" ca="1" si="4"/>
        <v>32</v>
      </c>
      <c r="L15">
        <f t="shared" ca="1" si="5"/>
        <v>24</v>
      </c>
    </row>
    <row r="16" spans="1:23" ht="14.45" x14ac:dyDescent="0.35">
      <c r="A16" t="s">
        <v>19</v>
      </c>
      <c r="C16">
        <f t="shared" ca="1" si="2"/>
        <v>18</v>
      </c>
      <c r="D16">
        <f t="shared" ca="1" si="0"/>
        <v>67</v>
      </c>
      <c r="E16">
        <f t="shared" ca="1" si="0"/>
        <v>46</v>
      </c>
      <c r="F16">
        <f t="shared" ca="1" si="0"/>
        <v>49</v>
      </c>
      <c r="G16">
        <f t="shared" ca="1" si="0"/>
        <v>79</v>
      </c>
      <c r="H16">
        <f t="shared" ca="1" si="0"/>
        <v>24</v>
      </c>
      <c r="I16">
        <f t="shared" ca="1" si="3"/>
        <v>283</v>
      </c>
      <c r="J16" s="2">
        <f t="shared" ca="1" si="1"/>
        <v>47.166666666666664</v>
      </c>
      <c r="K16">
        <f t="shared" ca="1" si="4"/>
        <v>27</v>
      </c>
      <c r="L16">
        <f t="shared" ca="1" si="5"/>
        <v>24</v>
      </c>
    </row>
    <row r="17" spans="1:12" ht="14.45" x14ac:dyDescent="0.35">
      <c r="A17" t="s">
        <v>20</v>
      </c>
      <c r="C17">
        <f t="shared" ca="1" si="2"/>
        <v>63</v>
      </c>
      <c r="D17">
        <f t="shared" ca="1" si="0"/>
        <v>51</v>
      </c>
      <c r="E17">
        <f t="shared" ca="1" si="0"/>
        <v>53</v>
      </c>
      <c r="F17">
        <f t="shared" ca="1" si="0"/>
        <v>60</v>
      </c>
      <c r="G17">
        <f t="shared" ca="1" si="0"/>
        <v>75</v>
      </c>
      <c r="H17">
        <f t="shared" ca="1" si="0"/>
        <v>31</v>
      </c>
      <c r="I17">
        <f t="shared" ca="1" si="3"/>
        <v>333</v>
      </c>
      <c r="J17" s="2">
        <f t="shared" ca="1" si="1"/>
        <v>55.5</v>
      </c>
      <c r="K17">
        <f t="shared" ca="1" si="4"/>
        <v>21</v>
      </c>
      <c r="L17">
        <f t="shared" ca="1" si="5"/>
        <v>36</v>
      </c>
    </row>
    <row r="18" spans="1:12" ht="14.45" x14ac:dyDescent="0.35">
      <c r="A18" t="s">
        <v>21</v>
      </c>
      <c r="C18">
        <f t="shared" ca="1" si="2"/>
        <v>34</v>
      </c>
      <c r="D18">
        <f t="shared" ca="1" si="0"/>
        <v>2</v>
      </c>
      <c r="E18">
        <f t="shared" ca="1" si="0"/>
        <v>29</v>
      </c>
      <c r="F18">
        <f t="shared" ca="1" si="0"/>
        <v>72</v>
      </c>
      <c r="G18">
        <f t="shared" ca="1" si="0"/>
        <v>43</v>
      </c>
      <c r="H18">
        <f t="shared" ca="1" si="0"/>
        <v>83</v>
      </c>
      <c r="I18">
        <f t="shared" ca="1" si="3"/>
        <v>263</v>
      </c>
      <c r="J18" s="2">
        <f t="shared" ca="1" si="1"/>
        <v>43.833333333333336</v>
      </c>
      <c r="K18">
        <f t="shared" ca="1" si="4"/>
        <v>82</v>
      </c>
      <c r="L18">
        <f t="shared" ca="1" si="5"/>
        <v>24</v>
      </c>
    </row>
    <row r="19" spans="1:12" ht="14.45" x14ac:dyDescent="0.35">
      <c r="A19" t="s">
        <v>22</v>
      </c>
      <c r="C19">
        <f t="shared" ca="1" si="2"/>
        <v>33</v>
      </c>
      <c r="D19">
        <f t="shared" ca="1" si="0"/>
        <v>69</v>
      </c>
      <c r="E19">
        <f t="shared" ca="1" si="0"/>
        <v>27</v>
      </c>
      <c r="F19">
        <f t="shared" ca="1" si="0"/>
        <v>20</v>
      </c>
      <c r="G19">
        <f t="shared" ca="1" si="0"/>
        <v>55</v>
      </c>
      <c r="H19">
        <f t="shared" ca="1" si="0"/>
        <v>54</v>
      </c>
      <c r="I19">
        <f t="shared" ca="1" si="3"/>
        <v>258</v>
      </c>
      <c r="J19" s="2">
        <f t="shared" ca="1" si="1"/>
        <v>43</v>
      </c>
      <c r="K19">
        <f t="shared" ca="1" si="4"/>
        <v>63</v>
      </c>
      <c r="L19">
        <f t="shared" ca="1" si="5"/>
        <v>24</v>
      </c>
    </row>
    <row r="20" spans="1:12" ht="14.45" x14ac:dyDescent="0.35">
      <c r="A20" t="s">
        <v>23</v>
      </c>
      <c r="C20">
        <f t="shared" ca="1" si="2"/>
        <v>52</v>
      </c>
      <c r="D20">
        <f t="shared" ca="1" si="0"/>
        <v>66</v>
      </c>
      <c r="E20">
        <f t="shared" ca="1" si="0"/>
        <v>59</v>
      </c>
      <c r="F20">
        <f t="shared" ca="1" si="0"/>
        <v>56</v>
      </c>
      <c r="G20">
        <f t="shared" ca="1" si="0"/>
        <v>61</v>
      </c>
      <c r="H20">
        <f t="shared" ca="1" si="0"/>
        <v>84</v>
      </c>
      <c r="I20">
        <f t="shared" ca="1" si="3"/>
        <v>378</v>
      </c>
      <c r="J20" s="2">
        <f t="shared" ca="1" si="1"/>
        <v>63</v>
      </c>
      <c r="K20">
        <f t="shared" ca="1" si="4"/>
        <v>62</v>
      </c>
      <c r="L20">
        <f t="shared" ca="1" si="5"/>
        <v>42</v>
      </c>
    </row>
    <row r="21" spans="1:12" ht="14.45" x14ac:dyDescent="0.35">
      <c r="A21" t="s">
        <v>24</v>
      </c>
      <c r="C21">
        <f t="shared" ca="1" si="2"/>
        <v>68</v>
      </c>
      <c r="D21">
        <f t="shared" ca="1" si="2"/>
        <v>14</v>
      </c>
      <c r="E21">
        <f t="shared" ca="1" si="2"/>
        <v>18</v>
      </c>
      <c r="F21">
        <f t="shared" ca="1" si="2"/>
        <v>88</v>
      </c>
      <c r="G21">
        <f t="shared" ca="1" si="2"/>
        <v>48</v>
      </c>
      <c r="H21">
        <f t="shared" ca="1" si="2"/>
        <v>1</v>
      </c>
      <c r="I21">
        <f t="shared" ca="1" si="3"/>
        <v>237</v>
      </c>
      <c r="J21" s="2">
        <f t="shared" ca="1" si="1"/>
        <v>39.5</v>
      </c>
      <c r="K21">
        <f t="shared" ca="1" si="4"/>
        <v>42</v>
      </c>
      <c r="L21">
        <f t="shared" ca="1" si="5"/>
        <v>0</v>
      </c>
    </row>
    <row r="22" spans="1:12" ht="14.45" x14ac:dyDescent="0.35">
      <c r="A22" t="s">
        <v>25</v>
      </c>
      <c r="C22">
        <f t="shared" ca="1" si="2"/>
        <v>49</v>
      </c>
      <c r="D22">
        <f t="shared" ca="1" si="2"/>
        <v>88</v>
      </c>
      <c r="E22">
        <f t="shared" ca="1" si="2"/>
        <v>67</v>
      </c>
      <c r="F22">
        <f t="shared" ca="1" si="2"/>
        <v>9</v>
      </c>
      <c r="G22">
        <f t="shared" ca="1" si="2"/>
        <v>76</v>
      </c>
      <c r="H22">
        <f t="shared" ca="1" si="2"/>
        <v>27</v>
      </c>
      <c r="I22">
        <f t="shared" ca="1" si="3"/>
        <v>316</v>
      </c>
      <c r="J22" s="2">
        <f t="shared" ca="1" si="1"/>
        <v>52.666666666666664</v>
      </c>
      <c r="K22">
        <f t="shared" ca="1" si="4"/>
        <v>39</v>
      </c>
      <c r="L22">
        <f t="shared" ca="1" si="5"/>
        <v>30</v>
      </c>
    </row>
    <row r="23" spans="1:12" ht="14.45" x14ac:dyDescent="0.35">
      <c r="A23" t="s">
        <v>26</v>
      </c>
      <c r="C23">
        <f t="shared" ca="1" si="2"/>
        <v>41</v>
      </c>
      <c r="D23">
        <f t="shared" ca="1" si="2"/>
        <v>89</v>
      </c>
      <c r="E23">
        <f t="shared" ca="1" si="2"/>
        <v>6</v>
      </c>
      <c r="F23">
        <f t="shared" ca="1" si="2"/>
        <v>16</v>
      </c>
      <c r="G23">
        <f t="shared" ca="1" si="2"/>
        <v>6</v>
      </c>
      <c r="H23">
        <f t="shared" ca="1" si="2"/>
        <v>80</v>
      </c>
      <c r="I23">
        <f t="shared" ca="1" si="3"/>
        <v>238</v>
      </c>
      <c r="J23" s="2">
        <f t="shared" ca="1" si="1"/>
        <v>39.666666666666664</v>
      </c>
      <c r="K23">
        <f t="shared" ca="1" si="4"/>
        <v>25</v>
      </c>
      <c r="L23">
        <f t="shared" ca="1" si="5"/>
        <v>0</v>
      </c>
    </row>
    <row r="24" spans="1:12" ht="14.45" x14ac:dyDescent="0.35">
      <c r="A24" t="s">
        <v>27</v>
      </c>
      <c r="C24">
        <f t="shared" ca="1" si="2"/>
        <v>66</v>
      </c>
      <c r="D24">
        <f t="shared" ca="1" si="2"/>
        <v>69</v>
      </c>
      <c r="E24">
        <f t="shared" ca="1" si="2"/>
        <v>26</v>
      </c>
      <c r="F24">
        <f t="shared" ca="1" si="2"/>
        <v>18</v>
      </c>
      <c r="G24">
        <f t="shared" ca="1" si="2"/>
        <v>19</v>
      </c>
      <c r="H24">
        <f t="shared" ca="1" si="2"/>
        <v>13</v>
      </c>
      <c r="I24">
        <f t="shared" ca="1" si="3"/>
        <v>211</v>
      </c>
      <c r="J24" s="2">
        <f t="shared" ca="1" si="1"/>
        <v>35.166666666666664</v>
      </c>
      <c r="K24">
        <f t="shared" ca="1" si="4"/>
        <v>87</v>
      </c>
      <c r="L24">
        <f t="shared" ca="1" si="5"/>
        <v>0</v>
      </c>
    </row>
    <row r="25" spans="1:12" ht="14.45" x14ac:dyDescent="0.35">
      <c r="A25" t="s">
        <v>28</v>
      </c>
      <c r="C25">
        <f t="shared" ca="1" si="2"/>
        <v>1</v>
      </c>
      <c r="D25">
        <f t="shared" ca="1" si="2"/>
        <v>17</v>
      </c>
      <c r="E25">
        <f t="shared" ca="1" si="2"/>
        <v>19</v>
      </c>
      <c r="F25">
        <f t="shared" ca="1" si="2"/>
        <v>77</v>
      </c>
      <c r="G25">
        <f t="shared" ca="1" si="2"/>
        <v>46</v>
      </c>
      <c r="H25">
        <f t="shared" ca="1" si="2"/>
        <v>46</v>
      </c>
      <c r="I25">
        <f t="shared" ca="1" si="3"/>
        <v>206</v>
      </c>
      <c r="J25" s="2">
        <f t="shared" ca="1" si="1"/>
        <v>34.333333333333336</v>
      </c>
      <c r="K25">
        <f t="shared" ca="1" si="4"/>
        <v>12</v>
      </c>
      <c r="L25">
        <f t="shared" ca="1" si="5"/>
        <v>0</v>
      </c>
    </row>
    <row r="26" spans="1:12" ht="14.45" x14ac:dyDescent="0.35">
      <c r="A26" t="s">
        <v>29</v>
      </c>
      <c r="C26">
        <f t="shared" ca="1" si="2"/>
        <v>15</v>
      </c>
      <c r="D26">
        <f t="shared" ca="1" si="2"/>
        <v>10</v>
      </c>
      <c r="E26">
        <f t="shared" ca="1" si="2"/>
        <v>59</v>
      </c>
      <c r="F26">
        <f t="shared" ca="1" si="2"/>
        <v>36</v>
      </c>
      <c r="G26">
        <f t="shared" ca="1" si="2"/>
        <v>31</v>
      </c>
      <c r="H26">
        <f t="shared" ca="1" si="2"/>
        <v>44</v>
      </c>
      <c r="I26">
        <f t="shared" ca="1" si="3"/>
        <v>195</v>
      </c>
      <c r="J26" s="2">
        <f t="shared" ca="1" si="1"/>
        <v>32.5</v>
      </c>
      <c r="K26">
        <f t="shared" ca="1" si="4"/>
        <v>97</v>
      </c>
      <c r="L26">
        <f t="shared" ca="1" si="5"/>
        <v>0</v>
      </c>
    </row>
    <row r="27" spans="1:12" ht="14.45" x14ac:dyDescent="0.35">
      <c r="A27" t="s">
        <v>30</v>
      </c>
      <c r="C27">
        <f t="shared" ca="1" si="2"/>
        <v>18</v>
      </c>
      <c r="D27">
        <f t="shared" ca="1" si="2"/>
        <v>16</v>
      </c>
      <c r="E27">
        <f t="shared" ca="1" si="2"/>
        <v>50</v>
      </c>
      <c r="F27">
        <f t="shared" ca="1" si="2"/>
        <v>95</v>
      </c>
      <c r="G27">
        <f t="shared" ca="1" si="2"/>
        <v>94</v>
      </c>
      <c r="H27">
        <f t="shared" ca="1" si="2"/>
        <v>2</v>
      </c>
      <c r="I27">
        <f t="shared" ca="1" si="3"/>
        <v>275</v>
      </c>
      <c r="J27" s="2">
        <f t="shared" ca="1" si="1"/>
        <v>45.833333333333336</v>
      </c>
      <c r="K27">
        <f t="shared" ca="1" si="4"/>
        <v>31</v>
      </c>
      <c r="L27">
        <f t="shared" ca="1" si="5"/>
        <v>24</v>
      </c>
    </row>
    <row r="28" spans="1:12" ht="14.45" x14ac:dyDescent="0.35">
      <c r="A28" t="s">
        <v>31</v>
      </c>
      <c r="C28">
        <f t="shared" ca="1" si="2"/>
        <v>85</v>
      </c>
      <c r="D28">
        <f t="shared" ca="1" si="2"/>
        <v>53</v>
      </c>
      <c r="E28">
        <f t="shared" ca="1" si="2"/>
        <v>28</v>
      </c>
      <c r="F28">
        <f t="shared" ca="1" si="2"/>
        <v>71</v>
      </c>
      <c r="G28">
        <f t="shared" ca="1" si="2"/>
        <v>82</v>
      </c>
      <c r="H28">
        <f t="shared" ca="1" si="2"/>
        <v>39</v>
      </c>
      <c r="I28">
        <f t="shared" ca="1" si="3"/>
        <v>358</v>
      </c>
      <c r="J28" s="2">
        <f t="shared" ca="1" si="1"/>
        <v>59.666666666666664</v>
      </c>
      <c r="K28">
        <f t="shared" ca="1" si="4"/>
        <v>6</v>
      </c>
      <c r="L28">
        <f t="shared" ca="1" si="5"/>
        <v>36</v>
      </c>
    </row>
    <row r="29" spans="1:12" ht="14.45" x14ac:dyDescent="0.35">
      <c r="A29" t="s">
        <v>32</v>
      </c>
      <c r="C29">
        <f t="shared" ca="1" si="2"/>
        <v>23</v>
      </c>
      <c r="D29">
        <f t="shared" ca="1" si="2"/>
        <v>33</v>
      </c>
      <c r="E29">
        <f t="shared" ca="1" si="2"/>
        <v>36</v>
      </c>
      <c r="F29">
        <f t="shared" ca="1" si="2"/>
        <v>13</v>
      </c>
      <c r="G29">
        <f t="shared" ca="1" si="2"/>
        <v>36</v>
      </c>
      <c r="H29">
        <f t="shared" ca="1" si="2"/>
        <v>21</v>
      </c>
      <c r="I29">
        <f t="shared" ca="1" si="3"/>
        <v>162</v>
      </c>
      <c r="J29" s="2">
        <f t="shared" ca="1" si="1"/>
        <v>27</v>
      </c>
      <c r="K29">
        <f t="shared" ca="1" si="4"/>
        <v>90</v>
      </c>
      <c r="L29">
        <f t="shared" ca="1" si="5"/>
        <v>0</v>
      </c>
    </row>
    <row r="30" spans="1:12" ht="14.45" x14ac:dyDescent="0.35">
      <c r="A30" t="s">
        <v>33</v>
      </c>
      <c r="C30">
        <f t="shared" ca="1" si="2"/>
        <v>89</v>
      </c>
      <c r="D30">
        <f t="shared" ca="1" si="2"/>
        <v>67</v>
      </c>
      <c r="E30">
        <f t="shared" ca="1" si="2"/>
        <v>73</v>
      </c>
      <c r="F30">
        <f t="shared" ca="1" si="2"/>
        <v>17</v>
      </c>
      <c r="G30">
        <f t="shared" ca="1" si="2"/>
        <v>76</v>
      </c>
      <c r="H30">
        <f t="shared" ca="1" si="2"/>
        <v>21</v>
      </c>
      <c r="I30">
        <f t="shared" ca="1" si="3"/>
        <v>343</v>
      </c>
      <c r="J30" s="2">
        <f t="shared" ca="1" si="1"/>
        <v>57.166666666666664</v>
      </c>
      <c r="K30">
        <f t="shared" ca="1" si="4"/>
        <v>76</v>
      </c>
      <c r="L30">
        <f t="shared" ca="1" si="5"/>
        <v>36</v>
      </c>
    </row>
    <row r="31" spans="1:12" ht="14.45" x14ac:dyDescent="0.35">
      <c r="A31" t="s">
        <v>34</v>
      </c>
      <c r="C31">
        <f t="shared" ca="1" si="2"/>
        <v>42</v>
      </c>
      <c r="D31">
        <f t="shared" ca="1" si="2"/>
        <v>71</v>
      </c>
      <c r="E31">
        <f t="shared" ca="1" si="2"/>
        <v>23</v>
      </c>
      <c r="F31">
        <f t="shared" ca="1" si="2"/>
        <v>71</v>
      </c>
      <c r="G31">
        <f t="shared" ca="1" si="2"/>
        <v>25</v>
      </c>
      <c r="H31">
        <f t="shared" ca="1" si="2"/>
        <v>42</v>
      </c>
      <c r="I31">
        <f t="shared" ca="1" si="3"/>
        <v>274</v>
      </c>
      <c r="J31" s="2">
        <f t="shared" ca="1" si="1"/>
        <v>45.666666666666664</v>
      </c>
      <c r="K31">
        <f t="shared" ca="1" si="4"/>
        <v>4</v>
      </c>
      <c r="L31">
        <f t="shared" ref="L6:L31" ca="1" si="6">VLOOKUP(J31,$S$5:$U$12,3,TRUE)</f>
        <v>4</v>
      </c>
    </row>
    <row r="32" spans="1:12" ht="14.45" x14ac:dyDescent="0.35">
      <c r="A32" t="s">
        <v>35</v>
      </c>
    </row>
    <row r="33" spans="1:1" x14ac:dyDescent="0.25">
      <c r="A33" t="s">
        <v>36</v>
      </c>
    </row>
    <row r="34" spans="1:1" x14ac:dyDescent="0.25">
      <c r="A34" t="s">
        <v>37</v>
      </c>
    </row>
    <row r="35" spans="1:1" x14ac:dyDescent="0.25">
      <c r="A35" t="s">
        <v>38</v>
      </c>
    </row>
    <row r="36" spans="1:1" x14ac:dyDescent="0.25">
      <c r="A36" t="s">
        <v>39</v>
      </c>
    </row>
    <row r="37" spans="1:1" x14ac:dyDescent="0.25">
      <c r="A37" t="s">
        <v>40</v>
      </c>
    </row>
    <row r="38" spans="1:1" x14ac:dyDescent="0.25">
      <c r="A38" t="s">
        <v>41</v>
      </c>
    </row>
    <row r="39" spans="1:1" x14ac:dyDescent="0.25">
      <c r="A39" t="s">
        <v>42</v>
      </c>
    </row>
    <row r="40" spans="1:1" x14ac:dyDescent="0.25">
      <c r="A40" t="s">
        <v>43</v>
      </c>
    </row>
    <row r="41" spans="1:1" x14ac:dyDescent="0.25">
      <c r="A41" t="s">
        <v>44</v>
      </c>
    </row>
    <row r="42" spans="1:1" x14ac:dyDescent="0.25">
      <c r="A42" t="s">
        <v>45</v>
      </c>
    </row>
    <row r="43" spans="1:1" x14ac:dyDescent="0.25">
      <c r="A43" t="s">
        <v>46</v>
      </c>
    </row>
    <row r="44" spans="1:1" x14ac:dyDescent="0.25">
      <c r="A44" t="s">
        <v>47</v>
      </c>
    </row>
    <row r="45" spans="1:1" x14ac:dyDescent="0.25">
      <c r="A45" t="s">
        <v>48</v>
      </c>
    </row>
    <row r="46" spans="1:1" x14ac:dyDescent="0.25">
      <c r="A46" t="s">
        <v>49</v>
      </c>
    </row>
    <row r="47" spans="1:1" x14ac:dyDescent="0.25">
      <c r="A47" t="s">
        <v>50</v>
      </c>
    </row>
    <row r="48" spans="1:1" x14ac:dyDescent="0.25">
      <c r="A48" t="s">
        <v>51</v>
      </c>
    </row>
    <row r="49" spans="1:1" x14ac:dyDescent="0.25">
      <c r="A49" t="s">
        <v>52</v>
      </c>
    </row>
    <row r="50" spans="1:1" x14ac:dyDescent="0.25">
      <c r="A50" t="s">
        <v>53</v>
      </c>
    </row>
    <row r="51" spans="1:1" x14ac:dyDescent="0.25">
      <c r="A51" t="s">
        <v>54</v>
      </c>
    </row>
    <row r="52" spans="1:1" x14ac:dyDescent="0.25">
      <c r="A52" t="s">
        <v>55</v>
      </c>
    </row>
    <row r="53" spans="1:1" x14ac:dyDescent="0.25">
      <c r="A53" t="s">
        <v>56</v>
      </c>
    </row>
    <row r="54" spans="1:1" x14ac:dyDescent="0.25">
      <c r="A54" t="s">
        <v>57</v>
      </c>
    </row>
    <row r="55" spans="1:1" x14ac:dyDescent="0.25">
      <c r="A55" t="s">
        <v>58</v>
      </c>
    </row>
    <row r="56" spans="1:1" x14ac:dyDescent="0.25">
      <c r="A56" t="s">
        <v>59</v>
      </c>
    </row>
    <row r="57" spans="1:1" x14ac:dyDescent="0.25">
      <c r="A57" t="s">
        <v>60</v>
      </c>
    </row>
    <row r="58" spans="1:1" x14ac:dyDescent="0.25">
      <c r="A58" t="s">
        <v>61</v>
      </c>
    </row>
    <row r="59" spans="1:1" ht="14.45" x14ac:dyDescent="0.35">
      <c r="A59" t="s">
        <v>62</v>
      </c>
    </row>
    <row r="60" spans="1:1" x14ac:dyDescent="0.25">
      <c r="A60" t="s">
        <v>63</v>
      </c>
    </row>
    <row r="61" spans="1:1" x14ac:dyDescent="0.25">
      <c r="A61" t="s">
        <v>64</v>
      </c>
    </row>
    <row r="62" spans="1:1" x14ac:dyDescent="0.25">
      <c r="A62" t="s">
        <v>65</v>
      </c>
    </row>
    <row r="63" spans="1:1" x14ac:dyDescent="0.25">
      <c r="A63" t="s">
        <v>66</v>
      </c>
    </row>
    <row r="64" spans="1:1" x14ac:dyDescent="0.25">
      <c r="A64" t="s">
        <v>67</v>
      </c>
    </row>
    <row r="65" spans="1:1" x14ac:dyDescent="0.25">
      <c r="A65" t="s">
        <v>68</v>
      </c>
    </row>
    <row r="66" spans="1:1" x14ac:dyDescent="0.25">
      <c r="A66" t="s">
        <v>69</v>
      </c>
    </row>
    <row r="67" spans="1:1" x14ac:dyDescent="0.25">
      <c r="A67" t="s">
        <v>70</v>
      </c>
    </row>
    <row r="68" spans="1:1" x14ac:dyDescent="0.25">
      <c r="A68" t="s">
        <v>71</v>
      </c>
    </row>
    <row r="69" spans="1:1" x14ac:dyDescent="0.25">
      <c r="A69" t="s">
        <v>72</v>
      </c>
    </row>
    <row r="70" spans="1:1" x14ac:dyDescent="0.25">
      <c r="A70" t="s">
        <v>73</v>
      </c>
    </row>
    <row r="71" spans="1:1" x14ac:dyDescent="0.25">
      <c r="A71" t="s">
        <v>74</v>
      </c>
    </row>
    <row r="72" spans="1:1" x14ac:dyDescent="0.25">
      <c r="A72" t="s">
        <v>75</v>
      </c>
    </row>
    <row r="73" spans="1:1" x14ac:dyDescent="0.25">
      <c r="A73" t="s">
        <v>76</v>
      </c>
    </row>
    <row r="74" spans="1:1" x14ac:dyDescent="0.25">
      <c r="A74" t="s">
        <v>77</v>
      </c>
    </row>
    <row r="75" spans="1:1" x14ac:dyDescent="0.25">
      <c r="A75" t="s">
        <v>78</v>
      </c>
    </row>
    <row r="76" spans="1:1" x14ac:dyDescent="0.25">
      <c r="A76" t="s">
        <v>79</v>
      </c>
    </row>
    <row r="77" spans="1:1" x14ac:dyDescent="0.25">
      <c r="A77" t="s">
        <v>80</v>
      </c>
    </row>
    <row r="78" spans="1:1" x14ac:dyDescent="0.25">
      <c r="A78" t="s">
        <v>81</v>
      </c>
    </row>
    <row r="79" spans="1:1" x14ac:dyDescent="0.25">
      <c r="A79" t="s">
        <v>82</v>
      </c>
    </row>
    <row r="80" spans="1:1" x14ac:dyDescent="0.25">
      <c r="A80" t="s">
        <v>83</v>
      </c>
    </row>
    <row r="81" spans="1:1" x14ac:dyDescent="0.25">
      <c r="A81" t="s">
        <v>84</v>
      </c>
    </row>
    <row r="82" spans="1:1" x14ac:dyDescent="0.25">
      <c r="A82" t="s">
        <v>85</v>
      </c>
    </row>
    <row r="83" spans="1:1" x14ac:dyDescent="0.25">
      <c r="A83" t="s">
        <v>86</v>
      </c>
    </row>
    <row r="84" spans="1:1" x14ac:dyDescent="0.25">
      <c r="A84" t="s">
        <v>87</v>
      </c>
    </row>
    <row r="85" spans="1:1" x14ac:dyDescent="0.25">
      <c r="A85" t="s">
        <v>88</v>
      </c>
    </row>
    <row r="86" spans="1:1" x14ac:dyDescent="0.25">
      <c r="A86" t="s">
        <v>89</v>
      </c>
    </row>
    <row r="87" spans="1:1" x14ac:dyDescent="0.25">
      <c r="A87" t="s">
        <v>90</v>
      </c>
    </row>
    <row r="88" spans="1:1" x14ac:dyDescent="0.25">
      <c r="A88" t="s">
        <v>91</v>
      </c>
    </row>
    <row r="89" spans="1:1" x14ac:dyDescent="0.25">
      <c r="A89" t="s">
        <v>92</v>
      </c>
    </row>
    <row r="90" spans="1:1" x14ac:dyDescent="0.25">
      <c r="A90" t="s">
        <v>93</v>
      </c>
    </row>
    <row r="91" spans="1:1" x14ac:dyDescent="0.25">
      <c r="A91" t="s">
        <v>94</v>
      </c>
    </row>
    <row r="92" spans="1:1" x14ac:dyDescent="0.25">
      <c r="A92" t="s">
        <v>95</v>
      </c>
    </row>
    <row r="93" spans="1:1" x14ac:dyDescent="0.25">
      <c r="A93" t="s">
        <v>96</v>
      </c>
    </row>
    <row r="94" spans="1:1" x14ac:dyDescent="0.25">
      <c r="A94" t="s">
        <v>97</v>
      </c>
    </row>
    <row r="95" spans="1:1" x14ac:dyDescent="0.25">
      <c r="A95" t="s">
        <v>98</v>
      </c>
    </row>
    <row r="96" spans="1:1" x14ac:dyDescent="0.25">
      <c r="A96" t="s">
        <v>99</v>
      </c>
    </row>
    <row r="97" spans="1:1" x14ac:dyDescent="0.25">
      <c r="A97" t="s">
        <v>100</v>
      </c>
    </row>
    <row r="98" spans="1:1" x14ac:dyDescent="0.25">
      <c r="A98" t="s">
        <v>101</v>
      </c>
    </row>
    <row r="99" spans="1:1" x14ac:dyDescent="0.25">
      <c r="A99" t="s">
        <v>102</v>
      </c>
    </row>
    <row r="100" spans="1:1" x14ac:dyDescent="0.25">
      <c r="A100" t="s">
        <v>103</v>
      </c>
    </row>
    <row r="101" spans="1:1" x14ac:dyDescent="0.25">
      <c r="A101" t="s">
        <v>104</v>
      </c>
    </row>
    <row r="102" spans="1:1" x14ac:dyDescent="0.25">
      <c r="A102" t="s">
        <v>105</v>
      </c>
    </row>
    <row r="103" spans="1:1" x14ac:dyDescent="0.25">
      <c r="A103" t="s">
        <v>106</v>
      </c>
    </row>
    <row r="104" spans="1:1" x14ac:dyDescent="0.25">
      <c r="A104" t="s">
        <v>107</v>
      </c>
    </row>
  </sheetData>
  <mergeCells count="1">
    <mergeCell ref="A4:B4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Charts</vt:lpstr>
      </vt:variant>
      <vt:variant>
        <vt:i4>1</vt:i4>
      </vt:variant>
    </vt:vector>
  </HeadingPairs>
  <TitlesOfParts>
    <vt:vector size="2" baseType="lpstr">
      <vt:lpstr>Sheet1</vt:lpstr>
      <vt:lpstr>Chart1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CHETHAN SURESH</dc:creator>
  <cp:lastModifiedBy>ADMIN</cp:lastModifiedBy>
  <dcterms:created xsi:type="dcterms:W3CDTF">2026-03-08T15:46:39Z</dcterms:created>
  <dcterms:modified xsi:type="dcterms:W3CDTF">2026-03-09T05:50:54Z</dcterms:modified>
</cp:coreProperties>
</file>